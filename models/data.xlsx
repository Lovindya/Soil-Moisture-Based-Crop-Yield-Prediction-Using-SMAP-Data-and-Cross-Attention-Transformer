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vindya IIT project\code\models\"/>
    </mc:Choice>
  </mc:AlternateContent>
  <xr:revisionPtr revIDLastSave="0" documentId="13_ncr:1_{4DC02D2D-D0FA-462C-9086-72B353622632}" xr6:coauthVersionLast="47" xr6:coauthVersionMax="47" xr10:uidLastSave="{00000000-0000-0000-0000-000000000000}"/>
  <bookViews>
    <workbookView xWindow="-120" yWindow="-120" windowWidth="29040" windowHeight="15720" xr2:uid="{7A0270F1-6AAE-4676-B3A4-B654C89DE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1" l="1"/>
  <c r="H7" i="1"/>
  <c r="I17" i="1"/>
  <c r="H17" i="1"/>
  <c r="I5" i="1"/>
  <c r="I6" i="1"/>
  <c r="I4" i="1"/>
  <c r="H5" i="1"/>
  <c r="H6" i="1"/>
  <c r="H4" i="1"/>
  <c r="I16" i="1"/>
  <c r="H16" i="1"/>
  <c r="I15" i="1"/>
  <c r="H15" i="1"/>
  <c r="I14" i="1"/>
  <c r="H14" i="1"/>
</calcChain>
</file>

<file path=xl/sharedStrings.xml><?xml version="1.0" encoding="utf-8"?>
<sst xmlns="http://schemas.openxmlformats.org/spreadsheetml/2006/main" count="32" uniqueCount="10">
  <si>
    <t>model</t>
  </si>
  <si>
    <t>MSE</t>
  </si>
  <si>
    <t xml:space="preserve">R2 </t>
  </si>
  <si>
    <t>Cross Attention Transformer</t>
  </si>
  <si>
    <t>LSTM</t>
  </si>
  <si>
    <t>Without Historical Yield Average</t>
  </si>
  <si>
    <t>With Historical Yield Average</t>
  </si>
  <si>
    <t>Average</t>
  </si>
  <si>
    <t>BNN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</si>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</sst>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0" xfId="0" applyFont="1" applyAlignment="1">
      <alignment horizontal="center"/>
    </xf>
    <xf numFmtId="0" fontId="1" fillId="6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F1C3-832F-4295-B22A-A34C355B1FE3}">
  <dimension ref="A1:I17"/>
  <sheetViews>
    <sheetView tabSelected="1" workbookViewId="0">
      <selection activeCell="G22" sqref="G22"/>
    </sheetView>
  </sheetViews>
  <sheetFormatPr defaultRowHeight="15" x14ac:dyDescent="0.25"/>
  <cols>
    <col min="1" max="1" width="26.28515625" customWidth="1"/>
    <col min="2" max="2" width="12.5703125" customWidth="1"/>
    <col min="3" max="3" width="11.140625" customWidth="1"/>
    <col min="4" max="4" width="11.28515625" customWidth="1"/>
    <col min="5" max="5" width="12.42578125" customWidth="1"/>
    <col min="6" max="6" width="11.85546875" customWidth="1"/>
    <col min="7" max="7" width="11.140625" customWidth="1"/>
    <col min="8" max="8" width="19.28515625" customWidth="1"/>
    <col min="9" max="9" width="25.28515625" customWidth="1"/>
    <col min="10" max="10" width="12.85546875" customWidth="1"/>
    <col min="11" max="11" width="13.7109375" customWidth="1"/>
    <col min="12" max="13" width="13.140625" customWidth="1"/>
    <col min="14" max="14" width="12.140625" customWidth="1"/>
    <col min="15" max="15" width="13.42578125" customWidth="1"/>
  </cols>
  <sheetData>
    <row r="1" spans="1:9" ht="18.75" x14ac:dyDescent="0.3">
      <c r="A1" s="5" t="s">
        <v>5</v>
      </c>
      <c r="B1" s="5"/>
      <c r="C1" s="5"/>
      <c r="D1" s="5"/>
      <c r="E1" s="5"/>
      <c r="F1" s="5"/>
      <c r="G1" s="5"/>
    </row>
    <row r="2" spans="1:9" x14ac:dyDescent="0.25">
      <c r="A2" s="4" t="s">
        <v>0</v>
      </c>
      <c r="B2" s="1">
        <v>2020</v>
      </c>
      <c r="C2" s="1">
        <v>2020</v>
      </c>
      <c r="D2" s="2">
        <v>2021</v>
      </c>
      <c r="E2" s="2">
        <v>2021</v>
      </c>
      <c r="F2" s="3">
        <v>2022</v>
      </c>
      <c r="G2" s="3">
        <v>2022</v>
      </c>
      <c r="H2" s="6" t="s">
        <v>7</v>
      </c>
      <c r="I2" s="6" t="s">
        <v>7</v>
      </c>
    </row>
    <row r="3" spans="1:9" x14ac:dyDescent="0.25">
      <c r="A3" s="4"/>
      <c r="B3" s="1" t="s">
        <v>1</v>
      </c>
      <c r="C3" s="1" t="s">
        <v>2</v>
      </c>
      <c r="D3" s="2" t="s">
        <v>1</v>
      </c>
      <c r="E3" s="2" t="s">
        <v>2</v>
      </c>
      <c r="F3" s="3" t="s">
        <v>1</v>
      </c>
      <c r="G3" s="3" t="s">
        <v>2</v>
      </c>
      <c r="H3" s="6" t="s">
        <v>1</v>
      </c>
      <c r="I3" s="6" t="s">
        <v>2</v>
      </c>
    </row>
    <row r="4" spans="1:9" x14ac:dyDescent="0.25">
      <c r="A4" t="s">
        <v>3</v>
      </c>
      <c r="B4" s="9">
        <v>0.38569999999999999</v>
      </c>
      <c r="C4" s="9">
        <v>0.56399999999999995</v>
      </c>
      <c r="D4" s="7">
        <v>0.46510000000000001</v>
      </c>
      <c r="E4" s="7">
        <v>0.5726</v>
      </c>
      <c r="F4" s="7">
        <v>0.4451</v>
      </c>
      <c r="G4" s="7">
        <v>0.68230000000000002</v>
      </c>
      <c r="H4" s="9">
        <f>AVERAGE(B4,D4,F4)</f>
        <v>0.43196666666666667</v>
      </c>
      <c r="I4" s="9">
        <f>AVERAGE(C4,E4,G4)</f>
        <v>0.60630000000000006</v>
      </c>
    </row>
    <row r="5" spans="1:9" x14ac:dyDescent="0.25">
      <c r="A5" t="s">
        <v>4</v>
      </c>
      <c r="B5">
        <v>0.38569999999999999</v>
      </c>
      <c r="C5">
        <v>0.5494</v>
      </c>
      <c r="D5">
        <v>0.6341</v>
      </c>
      <c r="E5">
        <v>0.42249999999999999</v>
      </c>
      <c r="F5">
        <v>0.5423</v>
      </c>
      <c r="G5">
        <v>0.61299999999999999</v>
      </c>
      <c r="H5">
        <f t="shared" ref="H5:H6" si="0">AVERAGE(B5,D5,F5)</f>
        <v>0.52070000000000005</v>
      </c>
      <c r="I5" s="9">
        <f t="shared" ref="I5:I7" si="1">AVERAGE(C5,E5,G5)</f>
        <v>0.52829999999999999</v>
      </c>
    </row>
    <row r="6" spans="1:9" x14ac:dyDescent="0.25">
      <c r="A6" t="s">
        <v>8</v>
      </c>
      <c r="B6">
        <v>0.38879999999999998</v>
      </c>
      <c r="C6">
        <v>0.56040000000000001</v>
      </c>
      <c r="D6">
        <v>0.58850000000000002</v>
      </c>
      <c r="E6">
        <v>0.46400000000000002</v>
      </c>
      <c r="F6">
        <v>0.50980000000000003</v>
      </c>
      <c r="G6">
        <v>0.6361</v>
      </c>
      <c r="H6">
        <f>AVERAGE(B6,D6,F6)</f>
        <v>0.49570000000000003</v>
      </c>
      <c r="I6" s="9">
        <f t="shared" si="1"/>
        <v>0.55349999999999999</v>
      </c>
    </row>
    <row r="7" spans="1:9" x14ac:dyDescent="0.25">
      <c r="A7" t="s">
        <v>9</v>
      </c>
      <c r="B7" s="7">
        <v>0.32719999999999999</v>
      </c>
      <c r="C7" s="7">
        <v>0.63009999999999999</v>
      </c>
      <c r="D7">
        <v>0.46679999999999999</v>
      </c>
      <c r="E7">
        <v>0.57199999999999995</v>
      </c>
      <c r="F7">
        <v>0.46729999999999999</v>
      </c>
      <c r="G7">
        <v>0.66649999999999998</v>
      </c>
      <c r="H7" s="8">
        <f>AVERAGE(B7,D7,F7)</f>
        <v>0.42043333333333338</v>
      </c>
      <c r="I7" s="8">
        <f t="shared" si="1"/>
        <v>0.62286666666666657</v>
      </c>
    </row>
    <row r="11" spans="1:9" ht="18.75" x14ac:dyDescent="0.3">
      <c r="A11" s="5" t="s">
        <v>6</v>
      </c>
      <c r="B11" s="5"/>
      <c r="C11" s="5"/>
      <c r="D11" s="5"/>
      <c r="E11" s="5"/>
      <c r="F11" s="5"/>
      <c r="G11" s="5"/>
    </row>
    <row r="12" spans="1:9" x14ac:dyDescent="0.25">
      <c r="A12" s="4" t="s">
        <v>0</v>
      </c>
      <c r="B12" s="1">
        <v>2020</v>
      </c>
      <c r="C12" s="1">
        <v>2020</v>
      </c>
      <c r="D12" s="2">
        <v>2021</v>
      </c>
      <c r="E12" s="2">
        <v>2021</v>
      </c>
      <c r="F12" s="3">
        <v>2022</v>
      </c>
      <c r="G12" s="3">
        <v>2022</v>
      </c>
      <c r="H12" s="6" t="s">
        <v>7</v>
      </c>
      <c r="I12" s="6" t="s">
        <v>7</v>
      </c>
    </row>
    <row r="13" spans="1:9" x14ac:dyDescent="0.25">
      <c r="A13" s="4"/>
      <c r="B13" s="1" t="s">
        <v>1</v>
      </c>
      <c r="C13" s="1" t="s">
        <v>2</v>
      </c>
      <c r="D13" s="2" t="s">
        <v>1</v>
      </c>
      <c r="E13" s="2" t="s">
        <v>2</v>
      </c>
      <c r="F13" s="3" t="s">
        <v>1</v>
      </c>
      <c r="G13" s="3" t="s">
        <v>2</v>
      </c>
      <c r="H13" s="6" t="s">
        <v>1</v>
      </c>
      <c r="I13" s="6" t="s">
        <v>2</v>
      </c>
    </row>
    <row r="14" spans="1:9" x14ac:dyDescent="0.25">
      <c r="A14" t="s">
        <v>3</v>
      </c>
      <c r="B14" s="7">
        <v>0.254</v>
      </c>
      <c r="C14" s="7">
        <v>0.71309999999999996</v>
      </c>
      <c r="D14">
        <v>0.43209999999999998</v>
      </c>
      <c r="E14">
        <v>0.60309999999999997</v>
      </c>
      <c r="F14" s="7">
        <v>0.42399999999999999</v>
      </c>
      <c r="G14" s="7">
        <v>0.69740000000000002</v>
      </c>
      <c r="H14" s="8">
        <f>AVERAGE(B14,D14,F14)</f>
        <v>0.37003333333333327</v>
      </c>
      <c r="I14" s="8">
        <f>AVERAGE(C14,E14,G14)</f>
        <v>0.67119999999999991</v>
      </c>
    </row>
    <row r="15" spans="1:9" x14ac:dyDescent="0.25">
      <c r="A15" t="s">
        <v>4</v>
      </c>
      <c r="B15" s="9">
        <v>0.25380000000000003</v>
      </c>
      <c r="C15" s="9">
        <v>0.71299999999999997</v>
      </c>
      <c r="D15">
        <v>0.43659999999999999</v>
      </c>
      <c r="E15">
        <v>0.60240000000000005</v>
      </c>
      <c r="F15">
        <v>0.45850000000000002</v>
      </c>
      <c r="G15">
        <v>0.67269999999999996</v>
      </c>
      <c r="H15">
        <f>AVERAGE(B15,D15,F15)</f>
        <v>0.38296666666666668</v>
      </c>
      <c r="I15">
        <f>AVERAGE(C15,E15,G15)</f>
        <v>0.66269999999999996</v>
      </c>
    </row>
    <row r="16" spans="1:9" x14ac:dyDescent="0.25">
      <c r="A16" t="s">
        <v>8</v>
      </c>
      <c r="B16">
        <v>0.25819999999999999</v>
      </c>
      <c r="C16">
        <v>0.70809999999999995</v>
      </c>
      <c r="D16" s="7">
        <v>0.42270000000000002</v>
      </c>
      <c r="E16" s="7">
        <v>0.61499999999999999</v>
      </c>
      <c r="F16">
        <v>0.44090000000000001</v>
      </c>
      <c r="G16">
        <v>0.68530000000000002</v>
      </c>
      <c r="H16">
        <f>AVERAGE(B16,D16,F16)</f>
        <v>0.3739333333333334</v>
      </c>
      <c r="I16">
        <f>AVERAGE(C16,E16,G16)</f>
        <v>0.66946666666666665</v>
      </c>
    </row>
    <row r="17" spans="1:9" ht="17.25" customHeight="1" x14ac:dyDescent="0.25">
      <c r="A17" t="s">
        <v>9</v>
      </c>
      <c r="B17">
        <v>0.2742</v>
      </c>
      <c r="C17">
        <v>0.69</v>
      </c>
      <c r="D17">
        <v>0.42759999999999998</v>
      </c>
      <c r="E17">
        <v>0.61050000000000004</v>
      </c>
      <c r="F17">
        <v>0.45450000000000002</v>
      </c>
      <c r="G17">
        <v>0.67559999999999998</v>
      </c>
      <c r="H17">
        <f>AVERAGE(B17,D17,F17)</f>
        <v>0.38543333333333329</v>
      </c>
      <c r="I17">
        <f>AVERAGE(C17,E17,G17)</f>
        <v>0.65869999999999995</v>
      </c>
    </row>
  </sheetData>
  <mergeCells count="2">
    <mergeCell ref="A1:G1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Seniru Epasinghe</dc:creator>
  <cp:lastModifiedBy>Seniru Epasinghe</cp:lastModifiedBy>
  <dcterms:created xsi:type="dcterms:W3CDTF">2026-02-19T13:05:34Z</dcterms:created>
  <dcterms:modified xsi:type="dcterms:W3CDTF">2026-02-19T19:46:56Z</dcterms:modified>
</cp:coreProperties>
</file>